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2188" windowHeight="9480"/>
  </bookViews>
  <sheets>
    <sheet name="ورقة1" sheetId="1" r:id="rId1"/>
    <sheet name="ورقة2" sheetId="2" r:id="rId2"/>
    <sheet name="ورقة3" sheetId="3" r:id="rId3"/>
  </sheets>
  <definedNames>
    <definedName name="SummaryTitle">ورقة1!$B$1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<sst xmlns="http://schemas.openxmlformats.org/spreadsheetml/2006/main" count="168" uniqueCount="53">
  <si>
    <t>20K</t>
  </si>
  <si>
    <t>Goal Name</t>
  </si>
  <si>
    <t>Unit</t>
  </si>
  <si>
    <t>Value</t>
  </si>
  <si>
    <t>Averaged Value</t>
  </si>
  <si>
    <t>Minimum Value</t>
  </si>
  <si>
    <t>Maximum Value</t>
  </si>
  <si>
    <t>Progress [%]</t>
  </si>
  <si>
    <t>Use In Convergence</t>
  </si>
  <si>
    <t>Delta</t>
  </si>
  <si>
    <t>Criteria</t>
  </si>
  <si>
    <t>SG Average Static Pressure 1</t>
  </si>
  <si>
    <t>[Pa]</t>
  </si>
  <si>
    <t>Yes</t>
  </si>
  <si>
    <t>Drag Force (X) 2</t>
  </si>
  <si>
    <t>[N]</t>
  </si>
  <si>
    <t>Left Force (Y) 3</t>
  </si>
  <si>
    <t>Drad Coeffecent</t>
  </si>
  <si>
    <t>[ ]</t>
  </si>
  <si>
    <t>Left Coeffecent</t>
  </si>
  <si>
    <t>Iterations [ ]: 102</t>
  </si>
  <si>
    <t>Analysis interval: 31</t>
  </si>
  <si>
    <t>50K</t>
  </si>
  <si>
    <t>Drag Coefficent</t>
  </si>
  <si>
    <t>Iterations [ ]: 160</t>
  </si>
  <si>
    <t>Analysis interval: 21</t>
  </si>
  <si>
    <t>100K</t>
  </si>
  <si>
    <t>Drag Force</t>
  </si>
  <si>
    <t>Left Force</t>
  </si>
  <si>
    <t>SG Average Static Pressure 3</t>
  </si>
  <si>
    <t>Drag Coeffenent</t>
  </si>
  <si>
    <t>Iterations [ ]: 122</t>
  </si>
  <si>
    <t>Analysis interval: 38</t>
  </si>
  <si>
    <t>200K</t>
  </si>
  <si>
    <t>Lift Force (Y) 3</t>
  </si>
  <si>
    <t>Drag coefficient</t>
  </si>
  <si>
    <t>Lift coefficient</t>
  </si>
  <si>
    <t>Iterations [ ]: 29</t>
  </si>
  <si>
    <t>Analysis interval: 0</t>
  </si>
  <si>
    <t>1M</t>
  </si>
  <si>
    <t>drag Force (X) 2</t>
  </si>
  <si>
    <t>lift Force (Y) 3</t>
  </si>
  <si>
    <t>drag coeff</t>
  </si>
  <si>
    <t>lift coeff</t>
  </si>
  <si>
    <t>Iterations [ ]: 70</t>
  </si>
  <si>
    <t>Analysis interval: 27</t>
  </si>
  <si>
    <t>2M</t>
  </si>
  <si>
    <t>drag force</t>
  </si>
  <si>
    <t>lift force</t>
  </si>
  <si>
    <t>drag coefficient</t>
  </si>
  <si>
    <t>lift coefficient</t>
  </si>
  <si>
    <t>Iterations [ ]: 92</t>
  </si>
  <si>
    <t>Analysis interval: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</si>
</sst>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charset val="1"/>
      <scheme val="minor"/>
    </font>
    <font>
      <sz val="11"/>
      <color indexed="8"/>
      <name val="Calibri"/>
      <charset val="204"/>
    </font>
    <font>
      <b/>
      <u/>
      <sz val="20"/>
      <color indexed="8"/>
      <name val="Calibri"/>
      <charset val="204"/>
    </font>
    <font>
      <b/>
      <sz val="11"/>
      <color indexed="8"/>
      <name val="Calibri"/>
      <charset val="204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664260717410296E-2"/>
          <c:y val="0.19486111111111101"/>
          <c:w val="0.87122462817147905"/>
          <c:h val="0.720887649460484"/>
        </c:manualLayout>
      </c:layout>
      <c:lineChart>
        <c:grouping val="standard"/>
        <c:varyColors val="0"/>
        <c:ser>
          <c:idx val="0"/>
          <c:order val="0"/>
          <c:tx>
            <c:v>Drag Coeffecent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(ورقة1!$B$1,ورقة1!$B$17,ورقة1!$B$37,ورقة1!$B$55,ورقة1!$B$74,ورقة1!$B$96)</c:f>
              <c:strCache>
                <c:ptCount val="6"/>
                <c:pt idx="0">
                  <c:v>20K</c:v>
                </c:pt>
                <c:pt idx="1">
                  <c:v>50K</c:v>
                </c:pt>
                <c:pt idx="2">
                  <c:v>100K</c:v>
                </c:pt>
                <c:pt idx="3">
                  <c:v>200K</c:v>
                </c:pt>
                <c:pt idx="4">
                  <c:v>1M</c:v>
                </c:pt>
                <c:pt idx="5">
                  <c:v>2M</c:v>
                </c:pt>
              </c:strCache>
            </c:strRef>
          </c:cat>
          <c:val>
            <c:numRef>
              <c:f>(ورقة1!$D$7,ورقة1!$D$23,ورقة1!$D$43,ورقة1!$D$61,ورقة1!$D$80,ورقة1!$D$102)</c:f>
              <c:numCache>
                <c:formatCode>General</c:formatCode>
                <c:ptCount val="6"/>
                <c:pt idx="0">
                  <c:v>4.6961645691856103E-2</c:v>
                </c:pt>
                <c:pt idx="1">
                  <c:v>2.8418056758095799E-2</c:v>
                </c:pt>
                <c:pt idx="2">
                  <c:v>2.7464315735592899E-2</c:v>
                </c:pt>
                <c:pt idx="3">
                  <c:v>2.77514789863074E-2</c:v>
                </c:pt>
                <c:pt idx="4">
                  <c:v>1.13580042388345E-3</c:v>
                </c:pt>
                <c:pt idx="5">
                  <c:v>3.7969450155229199E-2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85760"/>
        <c:axId val="195287296"/>
      </c:lineChart>
      <c:catAx>
        <c:axId val="1952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87296"/>
        <c:crosses val="autoZero"/>
        <c:auto val="1"/>
        <c:lblAlgn val="ctr"/>
        <c:lblOffset val="100"/>
        <c:noMultiLvlLbl val="0"/>
      </c:catAx>
      <c:valAx>
        <c:axId val="19528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8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15fb2b7-cc9b-40ed-abc7-3e01c9841c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72703412073"/>
          <c:y val="0.10226851851851899"/>
          <c:w val="0.87623840769903805"/>
          <c:h val="0.77736111111111095"/>
        </c:manualLayout>
      </c:layout>
      <c:lineChart>
        <c:grouping val="standard"/>
        <c:varyColors val="0"/>
        <c:ser>
          <c:idx val="0"/>
          <c:order val="0"/>
          <c:tx>
            <c:v>Left Coeffecent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(ورقة1!$B$1,ورقة1!$B$17,ورقة1!$B$37,ورقة1!$B$55,ورقة1!$B$74,ورقة1!$B$96)</c:f>
              <c:strCache>
                <c:ptCount val="6"/>
                <c:pt idx="0">
                  <c:v>20K</c:v>
                </c:pt>
                <c:pt idx="1">
                  <c:v>50K</c:v>
                </c:pt>
                <c:pt idx="2">
                  <c:v>100K</c:v>
                </c:pt>
                <c:pt idx="3">
                  <c:v>200K</c:v>
                </c:pt>
                <c:pt idx="4">
                  <c:v>1M</c:v>
                </c:pt>
                <c:pt idx="5">
                  <c:v>2M</c:v>
                </c:pt>
              </c:strCache>
            </c:strRef>
          </c:cat>
          <c:val>
            <c:numRef>
              <c:f>(ورقة1!$D$8,ورقة1!$D$24,ورقة1!$D$44,ورقة1!$D$62,ورقة1!$D$81,ورقة1!$D$103)</c:f>
              <c:numCache>
                <c:formatCode>General</c:formatCode>
                <c:ptCount val="6"/>
                <c:pt idx="0">
                  <c:v>-1.9702598391467901E-2</c:v>
                </c:pt>
                <c:pt idx="1">
                  <c:v>4.4298621438993803E-2</c:v>
                </c:pt>
                <c:pt idx="2">
                  <c:v>2.7298453875433702E-2</c:v>
                </c:pt>
                <c:pt idx="3">
                  <c:v>-1.26707876035354E-2</c:v>
                </c:pt>
                <c:pt idx="4">
                  <c:v>-2.1637194153558499E-4</c:v>
                </c:pt>
                <c:pt idx="5">
                  <c:v>-9.5154670205392696E-3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38848"/>
        <c:axId val="208240640"/>
      </c:lineChart>
      <c:catAx>
        <c:axId val="20823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40640"/>
        <c:crosses val="autoZero"/>
        <c:auto val="1"/>
        <c:lblAlgn val="ctr"/>
        <c:lblOffset val="100"/>
        <c:noMultiLvlLbl val="0"/>
      </c:catAx>
      <c:valAx>
        <c:axId val="2082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3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a0596ae-f2cd-4dfd-911d-dd6c3b20b1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Drag Coeffecent &amp; Left Coeffece</a:t>
            </a:r>
            <a:r>
              <a:rPr lang="en-US" altLang="en-US"/>
              <a:t>n</a:t>
            </a:r>
            <a:r>
              <a:rPr lang="en-US"/>
              <a:t>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Drag Coeffecent &amp; Left Coeffecemt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(ورقة1!$D$8,ورقة1!$D$24,ورقة1!$D$44,ورقة1!$D$62,ورقة1!$D$81,ورقة1!$D$103)</c:f>
              <c:numCache>
                <c:formatCode>General</c:formatCode>
                <c:ptCount val="6"/>
                <c:pt idx="0">
                  <c:v>-1.9702598391467901E-2</c:v>
                </c:pt>
                <c:pt idx="1">
                  <c:v>4.4298621438993803E-2</c:v>
                </c:pt>
                <c:pt idx="2">
                  <c:v>2.7298453875433702E-2</c:v>
                </c:pt>
                <c:pt idx="3">
                  <c:v>-1.26707876035354E-2</c:v>
                </c:pt>
                <c:pt idx="4">
                  <c:v>-2.1637194153558499E-4</c:v>
                </c:pt>
                <c:pt idx="5">
                  <c:v>-9.5154670205392696E-3</c:v>
                </c:pt>
              </c:numCache>
            </c:numRef>
          </c:cat>
          <c:val>
            <c:numRef>
              <c:f>(ورقة1!$D$7,ورقة1!$D$23,ورقة1!$D$43,ورقة1!$D$61,ورقة1!$D$80,ورقة1!$D$102)</c:f>
              <c:numCache>
                <c:formatCode>General</c:formatCode>
                <c:ptCount val="6"/>
                <c:pt idx="0">
                  <c:v>4.6961645691856103E-2</c:v>
                </c:pt>
                <c:pt idx="1">
                  <c:v>2.8418056758095799E-2</c:v>
                </c:pt>
                <c:pt idx="2">
                  <c:v>2.7464315735592899E-2</c:v>
                </c:pt>
                <c:pt idx="3">
                  <c:v>2.77514789863074E-2</c:v>
                </c:pt>
                <c:pt idx="4">
                  <c:v>1.13580042388345E-3</c:v>
                </c:pt>
                <c:pt idx="5">
                  <c:v>3.7969450155229199E-2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57024"/>
        <c:axId val="208258560"/>
      </c:lineChart>
      <c:catAx>
        <c:axId val="20825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58560"/>
        <c:crosses val="autoZero"/>
        <c:auto val="1"/>
        <c:lblAlgn val="ctr"/>
        <c:lblOffset val="100"/>
        <c:noMultiLvlLbl val="0"/>
      </c:catAx>
      <c:valAx>
        <c:axId val="2082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5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118f0a-1c0c-40b5-b676-226694f023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 / CD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(ورقة1!$D$7,ورقة1!$D$23,ورقة1!$D$43,ورقة1!$D$61,ورقة1!$D$80,ورقة1!$D$102)</c:f>
              <c:numCache>
                <c:formatCode>General</c:formatCode>
                <c:ptCount val="6"/>
                <c:pt idx="0">
                  <c:v>4.6961645691856103E-2</c:v>
                </c:pt>
                <c:pt idx="1">
                  <c:v>2.8418056758095799E-2</c:v>
                </c:pt>
                <c:pt idx="2">
                  <c:v>2.7464315735592899E-2</c:v>
                </c:pt>
                <c:pt idx="3">
                  <c:v>2.77514789863074E-2</c:v>
                </c:pt>
                <c:pt idx="4">
                  <c:v>1.13580042388345E-3</c:v>
                </c:pt>
                <c:pt idx="5">
                  <c:v>3.7969450155229199E-2</c:v>
                </c:pt>
              </c:numCache>
            </c:numRef>
          </c:cat>
          <c:val>
            <c:numRef>
              <c:f>(ورقة1!$D$8,ورقة1!$D$24,ورقة1!$D$44,ورقة1!$D$62,ورقة1!$D$81,ورقة1!$D$103)</c:f>
              <c:numCache>
                <c:formatCode>General</c:formatCode>
                <c:ptCount val="6"/>
                <c:pt idx="0">
                  <c:v>-1.9702598391467901E-2</c:v>
                </c:pt>
                <c:pt idx="1">
                  <c:v>4.4298621438993803E-2</c:v>
                </c:pt>
                <c:pt idx="2">
                  <c:v>2.7298453875433702E-2</c:v>
                </c:pt>
                <c:pt idx="3">
                  <c:v>-1.26707876035354E-2</c:v>
                </c:pt>
                <c:pt idx="4">
                  <c:v>-2.1637194153558499E-4</c:v>
                </c:pt>
                <c:pt idx="5">
                  <c:v>-9.5154670205392696E-3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754624"/>
        <c:axId val="257756160"/>
      </c:lineChart>
      <c:catAx>
        <c:axId val="25775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756160"/>
        <c:crosses val="autoZero"/>
        <c:auto val="1"/>
        <c:lblAlgn val="ctr"/>
        <c:lblOffset val="100"/>
        <c:noMultiLvlLbl val="0"/>
      </c:catAx>
      <c:valAx>
        <c:axId val="25775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75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5880404-d1d4-4551-8102-5deb1ce0745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 / CD and Re</c:v>
          </c:tx>
          <c:marker>
            <c:symbol val="none"/>
          </c:marker>
          <c:cat>
            <c:strRef>
              <c:f>(ورقة1!$D$7,ورقة1!$D$23,ورقة1!$D$43,ورقة1!$D$61,ورقة1!$D$80,ورقة1!$D$102,ورقة1!$B$1,ورقة1!$B$17,ورقة1!$B$37,ورقة1!$B$55,ورقة1!$B$75,ورقة1!$B$75,ورقة1!$B$74,ورقة1!$B$96)</c:f>
              <c:strCache>
                <c:ptCount val="14"/>
                <c:pt idx="0">
                  <c:v>0.046961646</c:v>
                </c:pt>
                <c:pt idx="1">
                  <c:v>0.028418057</c:v>
                </c:pt>
                <c:pt idx="2">
                  <c:v>0.027464316</c:v>
                </c:pt>
                <c:pt idx="3">
                  <c:v>0.027751479</c:v>
                </c:pt>
                <c:pt idx="4">
                  <c:v>0.0011358</c:v>
                </c:pt>
                <c:pt idx="5">
                  <c:v>0.03796945</c:v>
                </c:pt>
                <c:pt idx="6">
                  <c:v>20K</c:v>
                </c:pt>
                <c:pt idx="7">
                  <c:v>50K</c:v>
                </c:pt>
                <c:pt idx="8">
                  <c:v>100K</c:v>
                </c:pt>
                <c:pt idx="9">
                  <c:v>200K</c:v>
                </c:pt>
                <c:pt idx="12">
                  <c:v>1M</c:v>
                </c:pt>
                <c:pt idx="13">
                  <c:v>2M</c:v>
                </c:pt>
              </c:strCache>
            </c:strRef>
          </c:cat>
          <c:val>
            <c:numRef>
              <c:f>(ورقة1!$D$8,ورقة1!$D$24,ورقة1!$D$44,ورقة1!$D$62,ورقة1!$D$81,ورقة1!$D$103)</c:f>
              <c:numCache>
                <c:formatCode>General</c:formatCode>
                <c:ptCount val="6"/>
                <c:pt idx="0">
                  <c:v>-1.9702598391467901E-2</c:v>
                </c:pt>
                <c:pt idx="1">
                  <c:v>4.4298621438993803E-2</c:v>
                </c:pt>
                <c:pt idx="2">
                  <c:v>2.7298453875433702E-2</c:v>
                </c:pt>
                <c:pt idx="3">
                  <c:v>-1.26707876035354E-2</c:v>
                </c:pt>
                <c:pt idx="4">
                  <c:v>-2.1637194153558499E-4</c:v>
                </c:pt>
                <c:pt idx="5">
                  <c:v>-9.5154670205392696E-3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43584"/>
        <c:axId val="258265856"/>
      </c:lineChart>
      <c:catAx>
        <c:axId val="25824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8265856"/>
        <c:crosses val="autoZero"/>
        <c:auto val="1"/>
        <c:lblAlgn val="ctr"/>
        <c:lblOffset val="100"/>
        <c:noMultiLvlLbl val="0"/>
      </c:catAx>
      <c:valAx>
        <c:axId val="258265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8243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</xdr:row>
      <xdr:rowOff>161925</xdr:rowOff>
    </xdr:from>
    <xdr:to>
      <xdr:col>21</xdr:col>
      <xdr:colOff>447675</xdr:colOff>
      <xdr:row>13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15</xdr:row>
      <xdr:rowOff>128587</xdr:rowOff>
    </xdr:from>
    <xdr:to>
      <xdr:col>21</xdr:col>
      <xdr:colOff>457200</xdr:colOff>
      <xdr:row>26</xdr:row>
      <xdr:rowOff>61912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</xdr:colOff>
      <xdr:row>30</xdr:row>
      <xdr:rowOff>90487</xdr:rowOff>
    </xdr:from>
    <xdr:to>
      <xdr:col>21</xdr:col>
      <xdr:colOff>447675</xdr:colOff>
      <xdr:row>41</xdr:row>
      <xdr:rowOff>214312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38100</xdr:colOff>
      <xdr:row>44</xdr:row>
      <xdr:rowOff>147637</xdr:rowOff>
    </xdr:from>
    <xdr:to>
      <xdr:col>21</xdr:col>
      <xdr:colOff>476250</xdr:colOff>
      <xdr:row>56</xdr:row>
      <xdr:rowOff>461962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85898</xdr:colOff>
      <xdr:row>59</xdr:row>
      <xdr:rowOff>14548</xdr:rowOff>
    </xdr:from>
    <xdr:to>
      <xdr:col>21</xdr:col>
      <xdr:colOff>390698</xdr:colOff>
      <xdr:row>73</xdr:row>
      <xdr:rowOff>194656</xdr:rowOff>
    </xdr:to>
    <xdr:graphicFrame macro="">
      <xdr:nvGraphicFramePr>
        <xdr:cNvPr id="6" name="مخطط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8"/>
  <sheetViews>
    <sheetView tabSelected="1" zoomScaleNormal="100" workbookViewId="0">
      <selection activeCell="K14" sqref="K14"/>
    </sheetView>
  </sheetViews>
  <sheetFormatPr defaultColWidth="8.88671875" defaultRowHeight="14.4" x14ac:dyDescent="0.3"/>
  <cols>
    <col min="1" max="1" width="8.88671875" style="1"/>
    <col min="2" max="2" width="24.44140625" style="1" customWidth="1"/>
    <col min="3" max="3" width="13.33203125" style="1" customWidth="1"/>
    <col min="4" max="4" width="14.6640625" style="1" customWidth="1"/>
    <col min="5" max="5" width="16.33203125" style="1" customWidth="1"/>
    <col min="6" max="6" width="12.44140625" style="1" customWidth="1"/>
    <col min="7" max="7" width="11.88671875" style="1" customWidth="1"/>
    <col min="8" max="8" width="9" style="1" customWidth="1"/>
    <col min="9" max="9" width="8.6640625" style="1" customWidth="1"/>
    <col min="10" max="16384" width="8.88671875" style="1"/>
  </cols>
  <sheetData>
    <row r="1" spans="2:11" ht="25.8" x14ac:dyDescent="0.5">
      <c r="B1" s="2" t="s">
        <v>0</v>
      </c>
    </row>
    <row r="3" spans="2:11" ht="43.2" x14ac:dyDescent="0.3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2:11" x14ac:dyDescent="0.3">
      <c r="B4" s="4" t="s">
        <v>11</v>
      </c>
      <c r="C4" s="4" t="s">
        <v>12</v>
      </c>
      <c r="D4" s="4">
        <v>101324.976004474</v>
      </c>
      <c r="E4" s="4">
        <v>101324.975818903</v>
      </c>
      <c r="F4" s="4">
        <v>101324.97556586099</v>
      </c>
      <c r="G4" s="4">
        <v>101324.97609898901</v>
      </c>
      <c r="H4" s="4">
        <v>100</v>
      </c>
      <c r="I4" s="4" t="s">
        <v>13</v>
      </c>
      <c r="J4" s="4">
        <v>5.2163036889396597E-4</v>
      </c>
      <c r="K4" s="4">
        <v>1.01324976004474E-3</v>
      </c>
    </row>
    <row r="5" spans="2:11" x14ac:dyDescent="0.3">
      <c r="B5" s="4" t="s">
        <v>14</v>
      </c>
      <c r="C5" s="4" t="s">
        <v>15</v>
      </c>
      <c r="D5" s="4">
        <v>5.5097626004606097E-4</v>
      </c>
      <c r="E5" s="4">
        <v>5.5021559151529904E-4</v>
      </c>
      <c r="F5" s="4">
        <v>5.48888432783768E-4</v>
      </c>
      <c r="G5" s="4">
        <v>5.5234416407386102E-4</v>
      </c>
      <c r="H5" s="4">
        <v>100</v>
      </c>
      <c r="I5" s="4" t="s">
        <v>13</v>
      </c>
      <c r="J5" s="4">
        <v>1.26144896192722E-6</v>
      </c>
      <c r="K5" s="4">
        <v>8.5709674077570304E-6</v>
      </c>
    </row>
    <row r="6" spans="2:11" x14ac:dyDescent="0.3">
      <c r="B6" s="4" t="s">
        <v>16</v>
      </c>
      <c r="C6" s="4" t="s">
        <v>15</v>
      </c>
      <c r="D6" s="4">
        <v>-5.7483881077204697E-5</v>
      </c>
      <c r="E6" s="4">
        <v>-6.0769846395125801E-5</v>
      </c>
      <c r="F6" s="4">
        <v>-6.5870519784565098E-5</v>
      </c>
      <c r="G6" s="4">
        <v>-5.7093676547163002E-5</v>
      </c>
      <c r="H6" s="4">
        <v>100</v>
      </c>
      <c r="I6" s="4" t="s">
        <v>13</v>
      </c>
      <c r="J6" s="4">
        <v>3.8951734720409201E-6</v>
      </c>
      <c r="K6" s="4">
        <v>3.9858024727439199E-6</v>
      </c>
    </row>
    <row r="7" spans="2:11" x14ac:dyDescent="0.3">
      <c r="B7" s="4" t="s">
        <v>17</v>
      </c>
      <c r="C7" s="4" t="s">
        <v>18</v>
      </c>
      <c r="D7" s="4">
        <v>4.6961645691856103E-2</v>
      </c>
      <c r="E7" s="4">
        <v>4.6896811235962198E-2</v>
      </c>
      <c r="F7" s="4">
        <v>4.6783692826610303E-2</v>
      </c>
      <c r="G7" s="4">
        <v>4.7078236966203703E-2</v>
      </c>
      <c r="H7" s="4">
        <v>100</v>
      </c>
      <c r="I7" s="4" t="s">
        <v>13</v>
      </c>
      <c r="J7" s="4">
        <v>1.07517734436374E-4</v>
      </c>
      <c r="K7" s="4">
        <v>7.3053371592794801E-4</v>
      </c>
    </row>
    <row r="8" spans="2:11" x14ac:dyDescent="0.3">
      <c r="B8" s="4" t="s">
        <v>19</v>
      </c>
      <c r="C8" s="4" t="s">
        <v>18</v>
      </c>
      <c r="D8" s="4">
        <v>-1.9702598391467901E-2</v>
      </c>
      <c r="E8" s="4">
        <v>-2.0828862898562301E-2</v>
      </c>
      <c r="F8" s="4">
        <v>-2.2577118538838099E-2</v>
      </c>
      <c r="G8" s="4">
        <v>-1.95688558013387E-2</v>
      </c>
      <c r="H8" s="4">
        <v>100</v>
      </c>
      <c r="I8" s="4" t="s">
        <v>13</v>
      </c>
      <c r="J8" s="4">
        <v>1.33507058233677E-3</v>
      </c>
      <c r="K8" s="4">
        <v>1.36613366941458E-3</v>
      </c>
    </row>
    <row r="12" spans="2:11" x14ac:dyDescent="0.3">
      <c r="B12" s="5" t="s">
        <v>20</v>
      </c>
    </row>
    <row r="13" spans="2:11" x14ac:dyDescent="0.3">
      <c r="B13" s="5" t="s">
        <v>21</v>
      </c>
    </row>
    <row r="17" spans="2:11" ht="25.8" x14ac:dyDescent="0.5">
      <c r="B17" s="2" t="s">
        <v>22</v>
      </c>
    </row>
    <row r="19" spans="2:11" ht="43.2" x14ac:dyDescent="0.3"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</row>
    <row r="20" spans="2:11" x14ac:dyDescent="0.3">
      <c r="B20" s="4" t="s">
        <v>11</v>
      </c>
      <c r="C20" s="4" t="s">
        <v>12</v>
      </c>
      <c r="D20" s="4">
        <v>101323.87191565899</v>
      </c>
      <c r="E20" s="4">
        <v>101323.86536706499</v>
      </c>
      <c r="F20" s="4">
        <v>101323.843507917</v>
      </c>
      <c r="G20" s="4">
        <v>101323.87793087101</v>
      </c>
      <c r="H20" s="4">
        <v>29.3</v>
      </c>
      <c r="I20" s="4" t="s">
        <v>13</v>
      </c>
      <c r="J20" s="4">
        <v>1.1155969594256E-2</v>
      </c>
      <c r="K20" s="4">
        <v>3.2714923885942002E-3</v>
      </c>
    </row>
    <row r="21" spans="2:11" x14ac:dyDescent="0.3">
      <c r="B21" s="4" t="s">
        <v>14</v>
      </c>
      <c r="C21" s="4" t="s">
        <v>15</v>
      </c>
      <c r="D21" s="4">
        <v>5.7297025354702898E-4</v>
      </c>
      <c r="E21" s="4">
        <v>5.7940206269847599E-4</v>
      </c>
      <c r="F21" s="4">
        <v>5.6013807603727203E-4</v>
      </c>
      <c r="G21" s="4">
        <v>6.2045660872846198E-4</v>
      </c>
      <c r="H21" s="4">
        <v>100</v>
      </c>
      <c r="I21" s="4" t="s">
        <v>13</v>
      </c>
      <c r="J21" s="4">
        <v>7.9380006809968993E-6</v>
      </c>
      <c r="K21" s="4">
        <v>9.2528480005230702E-6</v>
      </c>
    </row>
    <row r="22" spans="2:11" x14ac:dyDescent="0.3">
      <c r="B22" s="4" t="s">
        <v>16</v>
      </c>
      <c r="C22" s="4" t="s">
        <v>15</v>
      </c>
      <c r="D22" s="4">
        <v>8.9315721246328102E-4</v>
      </c>
      <c r="E22" s="4">
        <v>8.4261703979822205E-4</v>
      </c>
      <c r="F22" s="4">
        <v>4.8595798806461398E-4</v>
      </c>
      <c r="G22" s="4">
        <v>1.0649045579049399E-3</v>
      </c>
      <c r="H22" s="4">
        <v>18</v>
      </c>
      <c r="I22" s="4" t="s">
        <v>13</v>
      </c>
      <c r="J22" s="4">
        <v>1.2701558746916499E-4</v>
      </c>
      <c r="K22" s="4">
        <v>2.29627610085895E-5</v>
      </c>
    </row>
    <row r="23" spans="2:11" x14ac:dyDescent="0.3">
      <c r="B23" s="4" t="s">
        <v>23</v>
      </c>
      <c r="C23" s="4" t="s">
        <v>18</v>
      </c>
      <c r="D23" s="4">
        <v>2.8418056758095799E-2</v>
      </c>
      <c r="E23" s="4">
        <v>2.8737060260269801E-2</v>
      </c>
      <c r="F23" s="4">
        <v>2.7781609147517899E-2</v>
      </c>
      <c r="G23" s="4">
        <v>3.0773274901493401E-2</v>
      </c>
      <c r="H23" s="4">
        <v>100</v>
      </c>
      <c r="I23" s="4" t="s">
        <v>13</v>
      </c>
      <c r="J23" s="4">
        <v>3.9370726927249702E-4</v>
      </c>
      <c r="K23" s="4">
        <v>4.5892078694328802E-4</v>
      </c>
    </row>
    <row r="24" spans="2:11" x14ac:dyDescent="0.3">
      <c r="B24" s="4" t="s">
        <v>19</v>
      </c>
      <c r="C24" s="4" t="s">
        <v>15</v>
      </c>
      <c r="D24" s="4">
        <v>4.4298621438993803E-2</v>
      </c>
      <c r="E24" s="4">
        <v>4.1791940705625301E-2</v>
      </c>
      <c r="F24" s="4">
        <v>2.41024409232036E-2</v>
      </c>
      <c r="G24" s="4">
        <v>5.2816909745583299E-2</v>
      </c>
      <c r="H24" s="4">
        <v>18</v>
      </c>
      <c r="I24" s="4" t="s">
        <v>13</v>
      </c>
      <c r="J24" s="4">
        <v>6.2996920896266897E-3</v>
      </c>
      <c r="K24" s="4">
        <v>1.1389021360619801E-3</v>
      </c>
    </row>
    <row r="28" spans="2:11" x14ac:dyDescent="0.3">
      <c r="B28" s="5" t="s">
        <v>24</v>
      </c>
    </row>
    <row r="29" spans="2:11" x14ac:dyDescent="0.3">
      <c r="B29" s="5" t="s">
        <v>25</v>
      </c>
    </row>
    <row r="37" spans="2:11" ht="25.8" x14ac:dyDescent="0.5">
      <c r="B37" s="2" t="s">
        <v>26</v>
      </c>
      <c r="C37" s="1" t="e">
        <f>B</f>
        <v>#NAME?</v>
      </c>
    </row>
    <row r="39" spans="2:11" ht="43.2" x14ac:dyDescent="0.3">
      <c r="B39" s="3" t="s">
        <v>1</v>
      </c>
      <c r="C39" s="3" t="s">
        <v>2</v>
      </c>
      <c r="D39" s="3" t="s">
        <v>3</v>
      </c>
      <c r="E39" s="3" t="s">
        <v>4</v>
      </c>
      <c r="F39" s="3" t="s">
        <v>5</v>
      </c>
      <c r="G39" s="3" t="s">
        <v>6</v>
      </c>
      <c r="H39" s="3" t="s">
        <v>7</v>
      </c>
      <c r="I39" s="3" t="s">
        <v>8</v>
      </c>
      <c r="J39" s="3" t="s">
        <v>9</v>
      </c>
      <c r="K39" s="3" t="s">
        <v>10</v>
      </c>
    </row>
    <row r="40" spans="2:11" x14ac:dyDescent="0.3">
      <c r="B40" s="4" t="s">
        <v>27</v>
      </c>
      <c r="C40" s="4" t="s">
        <v>15</v>
      </c>
      <c r="D40" s="4">
        <v>1.7157236824036099E-2</v>
      </c>
      <c r="E40" s="4">
        <v>1.7504813264681601E-2</v>
      </c>
      <c r="F40" s="4">
        <v>1.7157236824036099E-2</v>
      </c>
      <c r="G40" s="4">
        <v>1.77943128487449E-2</v>
      </c>
      <c r="H40" s="4">
        <v>100</v>
      </c>
      <c r="I40" s="4" t="s">
        <v>13</v>
      </c>
      <c r="J40" s="4">
        <v>3.8337772606441103E-4</v>
      </c>
      <c r="K40" s="4">
        <v>3.8576033902638798E-4</v>
      </c>
    </row>
    <row r="41" spans="2:11" x14ac:dyDescent="0.3">
      <c r="B41" s="4" t="s">
        <v>28</v>
      </c>
      <c r="C41" s="4" t="s">
        <v>15</v>
      </c>
      <c r="D41" s="4">
        <v>1.70536212363687E-2</v>
      </c>
      <c r="E41" s="4">
        <v>1.73488400069352E-2</v>
      </c>
      <c r="F41" s="4">
        <v>1.70536212363687E-2</v>
      </c>
      <c r="G41" s="4">
        <v>1.7519460492598799E-2</v>
      </c>
      <c r="H41" s="4">
        <v>100</v>
      </c>
      <c r="I41" s="4" t="s">
        <v>13</v>
      </c>
      <c r="J41" s="4">
        <v>3.05335739136218E-4</v>
      </c>
      <c r="K41" s="4">
        <v>4.0716611155634802E-4</v>
      </c>
    </row>
    <row r="42" spans="2:11" x14ac:dyDescent="0.3">
      <c r="B42" s="4" t="s">
        <v>29</v>
      </c>
      <c r="C42" s="4" t="s">
        <v>12</v>
      </c>
      <c r="D42" s="4">
        <v>101323.365606737</v>
      </c>
      <c r="E42" s="4">
        <v>101323.319137625</v>
      </c>
      <c r="F42" s="4">
        <v>101323.286382796</v>
      </c>
      <c r="G42" s="4">
        <v>101323.365606737</v>
      </c>
      <c r="H42" s="4">
        <v>100</v>
      </c>
      <c r="I42" s="4" t="s">
        <v>13</v>
      </c>
      <c r="J42" s="4">
        <v>1.5570734627544901E-2</v>
      </c>
      <c r="K42" s="4">
        <v>1.7456713450810599E-2</v>
      </c>
    </row>
    <row r="43" spans="2:11" x14ac:dyDescent="0.3">
      <c r="B43" s="4" t="s">
        <v>30</v>
      </c>
      <c r="C43" s="4" t="s">
        <v>18</v>
      </c>
      <c r="D43" s="4">
        <v>2.7464315735592899E-2</v>
      </c>
      <c r="E43" s="4">
        <v>2.8020696066880801E-2</v>
      </c>
      <c r="F43" s="4">
        <v>2.7464315735592899E-2</v>
      </c>
      <c r="G43" s="4">
        <v>2.8484110313800801E-2</v>
      </c>
      <c r="H43" s="4">
        <v>100</v>
      </c>
      <c r="I43" s="4" t="s">
        <v>13</v>
      </c>
      <c r="J43" s="4">
        <v>6.13688965339455E-4</v>
      </c>
      <c r="K43" s="4">
        <v>6.1750291483111703E-4</v>
      </c>
    </row>
    <row r="44" spans="2:11" x14ac:dyDescent="0.3">
      <c r="B44" s="4" t="s">
        <v>19</v>
      </c>
      <c r="C44" s="4" t="s">
        <v>18</v>
      </c>
      <c r="D44" s="4">
        <v>2.7298453875433702E-2</v>
      </c>
      <c r="E44" s="4">
        <v>2.77710230664443E-2</v>
      </c>
      <c r="F44" s="4">
        <v>2.7298453875433702E-2</v>
      </c>
      <c r="G44" s="4">
        <v>2.8044142505039501E-2</v>
      </c>
      <c r="H44" s="4">
        <v>100</v>
      </c>
      <c r="I44" s="4" t="s">
        <v>13</v>
      </c>
      <c r="J44" s="4">
        <v>4.8876385113772597E-4</v>
      </c>
      <c r="K44" s="4">
        <v>6.5176804163192604E-4</v>
      </c>
    </row>
    <row r="48" spans="2:11" x14ac:dyDescent="0.3">
      <c r="B48" s="5" t="s">
        <v>31</v>
      </c>
    </row>
    <row r="49" spans="2:11" x14ac:dyDescent="0.3">
      <c r="B49" s="5" t="s">
        <v>32</v>
      </c>
    </row>
    <row r="55" spans="2:11" ht="25.8" x14ac:dyDescent="0.5">
      <c r="B55" s="2" t="s">
        <v>33</v>
      </c>
    </row>
    <row r="57" spans="2:11" ht="43.2" x14ac:dyDescent="0.3">
      <c r="B57" s="3" t="s">
        <v>1</v>
      </c>
      <c r="C57" s="3" t="s">
        <v>2</v>
      </c>
      <c r="D57" s="3" t="s">
        <v>3</v>
      </c>
      <c r="E57" s="3" t="s">
        <v>4</v>
      </c>
      <c r="F57" s="3" t="s">
        <v>5</v>
      </c>
      <c r="G57" s="3" t="s">
        <v>6</v>
      </c>
      <c r="H57" s="3" t="s">
        <v>7</v>
      </c>
      <c r="I57" s="3" t="s">
        <v>8</v>
      </c>
      <c r="J57" s="3" t="s">
        <v>9</v>
      </c>
      <c r="K57" s="3" t="s">
        <v>10</v>
      </c>
    </row>
    <row r="58" spans="2:11" x14ac:dyDescent="0.3">
      <c r="B58" s="4" t="s">
        <v>11</v>
      </c>
      <c r="C58" s="4" t="s">
        <v>12</v>
      </c>
      <c r="D58" s="4">
        <v>101322.764200719</v>
      </c>
      <c r="E58" s="4">
        <v>101323.05148814101</v>
      </c>
      <c r="F58" s="4">
        <v>101321.894367702</v>
      </c>
      <c r="G58" s="4">
        <v>101335.93019959101</v>
      </c>
      <c r="H58" s="4">
        <v>0</v>
      </c>
      <c r="I58" s="4" t="s">
        <v>13</v>
      </c>
      <c r="J58" s="4">
        <v>12.8787114497682</v>
      </c>
      <c r="K58" s="4">
        <v>0</v>
      </c>
    </row>
    <row r="59" spans="2:11" x14ac:dyDescent="0.3">
      <c r="B59" s="4" t="s">
        <v>14</v>
      </c>
      <c r="C59" s="4" t="s">
        <v>15</v>
      </c>
      <c r="D59" s="4">
        <v>2.2074302084171001E-2</v>
      </c>
      <c r="E59" s="4">
        <v>6.6470679329126398E-2</v>
      </c>
      <c r="F59" s="4">
        <v>2.1774675186256101E-2</v>
      </c>
      <c r="G59" s="4">
        <v>1.2155980458476701</v>
      </c>
      <c r="H59" s="4">
        <v>0</v>
      </c>
      <c r="I59" s="4" t="s">
        <v>13</v>
      </c>
      <c r="J59" s="4">
        <v>1.14912736651855</v>
      </c>
      <c r="K59" s="4">
        <v>0</v>
      </c>
    </row>
    <row r="60" spans="2:11" x14ac:dyDescent="0.3">
      <c r="B60" s="4" t="s">
        <v>34</v>
      </c>
      <c r="C60" s="4" t="s">
        <v>15</v>
      </c>
      <c r="D60" s="4">
        <v>-1.0078698628740199E-2</v>
      </c>
      <c r="E60" s="4">
        <v>-1.01940230418976E-3</v>
      </c>
      <c r="F60" s="4">
        <v>-4.1725962953721898E-2</v>
      </c>
      <c r="G60" s="4">
        <v>0.25033573274203103</v>
      </c>
      <c r="H60" s="4">
        <v>0</v>
      </c>
      <c r="I60" s="4" t="s">
        <v>13</v>
      </c>
      <c r="J60" s="4">
        <v>0.25135513504622098</v>
      </c>
      <c r="K60" s="4">
        <v>0</v>
      </c>
    </row>
    <row r="61" spans="2:11" x14ac:dyDescent="0.3">
      <c r="B61" s="4" t="s">
        <v>35</v>
      </c>
      <c r="C61" s="4" t="s">
        <v>18</v>
      </c>
      <c r="D61" s="4">
        <v>2.77514789863074E-2</v>
      </c>
      <c r="E61" s="4">
        <v>8.3565933526414796E-2</v>
      </c>
      <c r="F61" s="4">
        <v>2.7374792578306401E-2</v>
      </c>
      <c r="G61" s="4">
        <v>1.5282314927332801</v>
      </c>
      <c r="H61" s="4">
        <v>0</v>
      </c>
      <c r="I61" s="4" t="s">
        <v>13</v>
      </c>
      <c r="J61" s="4">
        <v>1.44466555920687</v>
      </c>
      <c r="K61" s="4">
        <v>0</v>
      </c>
    </row>
    <row r="62" spans="2:11" x14ac:dyDescent="0.3">
      <c r="B62" s="4" t="s">
        <v>36</v>
      </c>
      <c r="C62" s="4" t="s">
        <v>15</v>
      </c>
      <c r="D62" s="4">
        <v>-1.26707876035354E-2</v>
      </c>
      <c r="E62" s="4">
        <v>-1.2815771712937499E-3</v>
      </c>
      <c r="F62" s="4">
        <v>-5.2457250049323299E-2</v>
      </c>
      <c r="G62" s="4">
        <v>0.31471830004963303</v>
      </c>
      <c r="H62" s="4">
        <v>0</v>
      </c>
      <c r="I62" s="4" t="s">
        <v>13</v>
      </c>
      <c r="J62" s="4">
        <v>0.31599987722092598</v>
      </c>
      <c r="K62" s="4">
        <v>0</v>
      </c>
    </row>
    <row r="66" spans="2:11" x14ac:dyDescent="0.3">
      <c r="B66" s="5" t="s">
        <v>37</v>
      </c>
    </row>
    <row r="67" spans="2:11" x14ac:dyDescent="0.3">
      <c r="B67" s="5" t="s">
        <v>38</v>
      </c>
    </row>
    <row r="74" spans="2:11" ht="25.8" x14ac:dyDescent="0.5">
      <c r="B74" s="2" t="s">
        <v>39</v>
      </c>
    </row>
    <row r="76" spans="2:11" ht="43.2" x14ac:dyDescent="0.3">
      <c r="B76" s="3" t="s">
        <v>1</v>
      </c>
      <c r="C76" s="3" t="s">
        <v>2</v>
      </c>
      <c r="D76" s="3" t="s">
        <v>3</v>
      </c>
      <c r="E76" s="3" t="s">
        <v>4</v>
      </c>
      <c r="F76" s="3" t="s">
        <v>5</v>
      </c>
      <c r="G76" s="3" t="s">
        <v>6</v>
      </c>
      <c r="H76" s="3" t="s">
        <v>7</v>
      </c>
      <c r="I76" s="3" t="s">
        <v>8</v>
      </c>
      <c r="J76" s="3" t="s">
        <v>9</v>
      </c>
      <c r="K76" s="3" t="s">
        <v>10</v>
      </c>
    </row>
    <row r="77" spans="2:11" x14ac:dyDescent="0.3">
      <c r="B77" s="4" t="s">
        <v>11</v>
      </c>
      <c r="C77" s="4" t="s">
        <v>12</v>
      </c>
      <c r="D77" s="4">
        <v>101289.08198942999</v>
      </c>
      <c r="E77" s="4">
        <v>101288.922501842</v>
      </c>
      <c r="F77" s="4">
        <v>101287.891125738</v>
      </c>
      <c r="G77" s="4">
        <v>101289.399152407</v>
      </c>
      <c r="H77" s="4">
        <v>100</v>
      </c>
      <c r="I77" s="4" t="s">
        <v>13</v>
      </c>
      <c r="J77" s="4">
        <v>1.50802666871459</v>
      </c>
      <c r="K77" s="4">
        <v>1.7123806495388301</v>
      </c>
    </row>
    <row r="78" spans="2:11" x14ac:dyDescent="0.3">
      <c r="B78" s="4" t="s">
        <v>40</v>
      </c>
      <c r="C78" s="4" t="s">
        <v>15</v>
      </c>
      <c r="D78" s="4">
        <v>0.75287283717092901</v>
      </c>
      <c r="E78" s="4">
        <v>0.75336396589952004</v>
      </c>
      <c r="F78" s="4">
        <v>0.75222556014138597</v>
      </c>
      <c r="G78" s="4">
        <v>0.75571328144361505</v>
      </c>
      <c r="H78" s="4">
        <v>100</v>
      </c>
      <c r="I78" s="4" t="s">
        <v>13</v>
      </c>
      <c r="J78" s="4">
        <v>3.4877213022290699E-3</v>
      </c>
      <c r="K78" s="4">
        <v>5.5971364182816202E-3</v>
      </c>
    </row>
    <row r="79" spans="2:11" x14ac:dyDescent="0.3">
      <c r="B79" s="4" t="s">
        <v>41</v>
      </c>
      <c r="C79" s="4" t="s">
        <v>15</v>
      </c>
      <c r="D79" s="4">
        <v>-0.14342357520091401</v>
      </c>
      <c r="E79" s="4">
        <v>-0.143072222407605</v>
      </c>
      <c r="F79" s="4">
        <v>-0.146115109440209</v>
      </c>
      <c r="G79" s="4">
        <v>-0.14166347764246201</v>
      </c>
      <c r="H79" s="4">
        <v>100</v>
      </c>
      <c r="I79" s="4" t="s">
        <v>13</v>
      </c>
      <c r="J79" s="4">
        <v>4.4516317977471298E-3</v>
      </c>
      <c r="K79" s="4">
        <v>9.25411015173443E-3</v>
      </c>
    </row>
    <row r="80" spans="2:11" x14ac:dyDescent="0.3">
      <c r="B80" s="4" t="s">
        <v>42</v>
      </c>
      <c r="C80" s="4" t="s">
        <v>18</v>
      </c>
      <c r="D80" s="4">
        <v>1.13580042388345E-3</v>
      </c>
      <c r="E80" s="4">
        <v>1.1365413514220399E-3</v>
      </c>
      <c r="F80" s="4">
        <v>1.13482392760383E-3</v>
      </c>
      <c r="G80" s="4">
        <v>1.14008558022016E-3</v>
      </c>
      <c r="H80" s="4">
        <v>100</v>
      </c>
      <c r="I80" s="4" t="s">
        <v>13</v>
      </c>
      <c r="J80" s="4">
        <v>5.2616526163230702E-6</v>
      </c>
      <c r="K80" s="4">
        <v>8.4439623832178005E-6</v>
      </c>
    </row>
    <row r="81" spans="2:11" ht="30" customHeight="1" x14ac:dyDescent="0.3">
      <c r="B81" s="4" t="s">
        <v>43</v>
      </c>
      <c r="C81" s="4" t="s">
        <v>15</v>
      </c>
      <c r="D81" s="4">
        <v>-2.1637194153558499E-4</v>
      </c>
      <c r="E81" s="4">
        <v>-2.1584188302919399E-4</v>
      </c>
      <c r="F81" s="4">
        <v>-2.2043244893996401E-4</v>
      </c>
      <c r="G81" s="4" t="e">
        <v>#NAME?</v>
      </c>
      <c r="H81" s="4">
        <v>100</v>
      </c>
      <c r="I81" s="4" t="s">
        <v>13</v>
      </c>
      <c r="J81" s="4">
        <v>6.7158290659732299E-6</v>
      </c>
      <c r="K81" s="4">
        <v>1.39609529180262E-5</v>
      </c>
    </row>
    <row r="85" spans="2:11" x14ac:dyDescent="0.3">
      <c r="B85" s="5" t="s">
        <v>44</v>
      </c>
    </row>
    <row r="86" spans="2:11" x14ac:dyDescent="0.3">
      <c r="B86" s="5" t="s">
        <v>45</v>
      </c>
    </row>
    <row r="96" spans="2:11" ht="25.8" x14ac:dyDescent="0.5">
      <c r="B96" s="2" t="s">
        <v>46</v>
      </c>
    </row>
    <row r="98" spans="2:11" ht="43.2" x14ac:dyDescent="0.3">
      <c r="B98" s="3" t="s">
        <v>1</v>
      </c>
      <c r="C98" s="3" t="s">
        <v>2</v>
      </c>
      <c r="D98" s="3" t="s">
        <v>3</v>
      </c>
      <c r="E98" s="3" t="s">
        <v>4</v>
      </c>
      <c r="F98" s="3" t="s">
        <v>5</v>
      </c>
      <c r="G98" s="3" t="s">
        <v>6</v>
      </c>
      <c r="H98" s="3" t="s">
        <v>7</v>
      </c>
      <c r="I98" s="3" t="s">
        <v>8</v>
      </c>
      <c r="J98" s="3" t="s">
        <v>9</v>
      </c>
      <c r="K98" s="3" t="s">
        <v>10</v>
      </c>
    </row>
    <row r="99" spans="2:11" x14ac:dyDescent="0.3">
      <c r="B99" s="4" t="s">
        <v>11</v>
      </c>
      <c r="C99" s="4" t="s">
        <v>12</v>
      </c>
      <c r="D99" s="4">
        <v>101250.997382434</v>
      </c>
      <c r="E99" s="4">
        <v>101247.569411209</v>
      </c>
      <c r="F99" s="4">
        <v>101235.29341029099</v>
      </c>
      <c r="G99" s="4">
        <v>101250.997382434</v>
      </c>
      <c r="H99" s="4">
        <v>100</v>
      </c>
      <c r="I99" s="4" t="s">
        <v>13</v>
      </c>
      <c r="J99" s="4">
        <v>15.7039721424517</v>
      </c>
      <c r="K99" s="4">
        <v>44.097432325336399</v>
      </c>
    </row>
    <row r="100" spans="2:11" x14ac:dyDescent="0.3">
      <c r="B100" s="4" t="s">
        <v>47</v>
      </c>
      <c r="C100" s="4" t="s">
        <v>15</v>
      </c>
      <c r="D100" s="4">
        <v>2.3743876056429101</v>
      </c>
      <c r="E100" s="4">
        <v>2.37460312517273</v>
      </c>
      <c r="F100" s="4">
        <v>2.3735076531688502</v>
      </c>
      <c r="G100" s="4">
        <v>2.3802159922153399</v>
      </c>
      <c r="H100" s="4">
        <v>100</v>
      </c>
      <c r="I100" s="4" t="s">
        <v>13</v>
      </c>
      <c r="J100" s="4">
        <v>6.70833904649548E-3</v>
      </c>
      <c r="K100" s="4">
        <v>0.35834125228627001</v>
      </c>
    </row>
    <row r="101" spans="2:11" x14ac:dyDescent="0.3">
      <c r="B101" s="4" t="s">
        <v>48</v>
      </c>
      <c r="C101" s="4" t="s">
        <v>15</v>
      </c>
      <c r="D101" s="4">
        <v>-0.59504172072822903</v>
      </c>
      <c r="E101" s="4">
        <v>-0.59319204748062304</v>
      </c>
      <c r="F101" s="4">
        <v>-0.59702142582176598</v>
      </c>
      <c r="G101" s="4">
        <v>-0.58145899741784401</v>
      </c>
      <c r="H101" s="4">
        <v>100</v>
      </c>
      <c r="I101" s="4" t="s">
        <v>13</v>
      </c>
      <c r="J101" s="4">
        <v>1.55624284039221E-2</v>
      </c>
      <c r="K101" s="4">
        <v>0.29893147070119902</v>
      </c>
    </row>
    <row r="102" spans="2:11" x14ac:dyDescent="0.3">
      <c r="B102" s="4" t="s">
        <v>49</v>
      </c>
      <c r="C102" s="4" t="s">
        <v>15</v>
      </c>
      <c r="D102" s="4">
        <v>3.7969450155229199E-2</v>
      </c>
      <c r="E102" s="4">
        <v>3.7972896584121202E-2</v>
      </c>
      <c r="F102" s="4">
        <v>3.7955378606201802E-2</v>
      </c>
      <c r="G102" s="4">
        <v>3.8062653401793302E-2</v>
      </c>
      <c r="H102" s="4">
        <v>100</v>
      </c>
      <c r="I102" s="4" t="s">
        <v>13</v>
      </c>
      <c r="J102" s="4">
        <v>1.07274795591479E-4</v>
      </c>
      <c r="K102" s="4">
        <v>5.7303282264910002E-3</v>
      </c>
    </row>
    <row r="103" spans="2:11" x14ac:dyDescent="0.3">
      <c r="B103" s="4" t="s">
        <v>50</v>
      </c>
      <c r="C103" s="4" t="s">
        <v>15</v>
      </c>
      <c r="D103" s="4">
        <v>-9.5154670205392696E-3</v>
      </c>
      <c r="E103" s="4">
        <v>-9.4858884142445393E-3</v>
      </c>
      <c r="F103" s="4">
        <v>-9.5471249999241302E-3</v>
      </c>
      <c r="G103" s="4">
        <v>-9.2982621570703704E-3</v>
      </c>
      <c r="H103" s="4">
        <v>100</v>
      </c>
      <c r="I103" s="4" t="s">
        <v>13</v>
      </c>
      <c r="J103" s="4">
        <v>2.4886284285376701E-4</v>
      </c>
      <c r="K103" s="4">
        <v>4.7802909472925903E-3</v>
      </c>
    </row>
    <row r="107" spans="2:11" x14ac:dyDescent="0.3">
      <c r="B107" s="5" t="s">
        <v>51</v>
      </c>
    </row>
    <row r="108" spans="2:11" x14ac:dyDescent="0.3">
      <c r="B108" s="5" t="s">
        <v>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نطاقات تمت تسميتها</vt:lpstr>
      </vt:variant>
      <vt:variant>
        <vt:i4>1</vt:i4>
      </vt:variant>
    </vt:vector>
  </HeadingPairs>
  <TitlesOfParts>
    <vt:vector size="4" baseType="lpstr">
      <vt:lpstr>ورقة1</vt:lpstr>
      <vt:lpstr>ورقة2</vt:lpstr>
      <vt:lpstr>ورقة3</vt:lpstr>
      <vt:lpstr>SummaryTitle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zigzag</dc:creator>
  <cp:lastModifiedBy>zigzag</cp:lastModifiedBy>
  <dcterms:created xsi:type="dcterms:W3CDTF">2025-05-22T18:12:00Z</dcterms:created>
  <dcterms:modified xsi:type="dcterms:W3CDTF">2025-05-22T20:22:35Z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8C4051DA64294DDFB1A1B29146A01E28_13</vt:lpwstr>
  </property>
  <property fmtid="{D5CDD505-2E9C-101B-9397-08002B2CF9AE}" pid="3" name="KSOProductBuildVer">
    <vt:lpwstr>1033-12.2.0.21179</vt:lpwstr>
  </property>
</Properties>
</file>